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21600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Lists" sheetId="2" state="hidden" r:id="rId2"/>
  </sheets>
  <definedNames>
    <definedName name="AirplaneFuel">Lists!$D$1</definedName>
    <definedName name="BusFuel">Lists!$B$1:$B$3</definedName>
    <definedName name="CarFuel">Lists!$A$1:$A$4</definedName>
    <definedName name="CICountries">Lists!$E$1:$E$7</definedName>
    <definedName name="TrainFuel">Lists!$C$1:$C$2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5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Direct vs Indirect CO₂e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0"/>
          <cat>
            <strRef>
              <f>Calculator!$O$23:$O$24</f>
              <strCache>
                <ptCount val="2"/>
                <pt idx="0">
                  <v>Direct CO₂e (g)</v>
                </pt>
                <pt idx="1">
                  <v>Indirect CO₂e (g)</v>
                </pt>
              </strCache>
            </strRef>
          </cat>
          <val>
            <numRef>
              <f>Calculator!$P$23:$P$24</f>
              <numCache>
                <formatCode>#,##0.00</formatCode>
                <ptCount val="2"/>
                <pt idx="0">
                  <v>10804.45439030837</v>
                </pt>
                <pt idx="1">
                  <v>16204.45439030837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10001"/>
        <axId val="50010002"/>
      </barChart>
      <catAx>
        <axId val="5001000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Type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crossAx val="50010002"/>
        <crosses val="autoZero"/>
        <auto val="1"/>
        <lblAlgn val="ctr"/>
        <lblOffset val="100"/>
        <noMultiLvlLbl val="0"/>
      </catAx>
      <valAx>
        <axId val="5001000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g CO₂e</a:t>
                </a:r>
              </a:p>
            </rich>
          </tx>
          <overlay val="0"/>
        </title>
        <numFmt formatCode="#,##0.00" sourceLinked="1"/>
        <majorTickMark val="out"/>
        <minorTickMark val="none"/>
        <tickLblPos val="nextTo"/>
        <crossAx val="50010001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Emissions Breakdown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0"/>
          <cat>
            <strRef>
              <f>Calculator!$O$25:$O$31</f>
              <strCache>
                <ptCount val="7"/>
                <pt idx="0">
                  <v>CO₂</v>
                </pt>
                <pt idx="1">
                  <v>CH₄</v>
                </pt>
                <pt idx="2">
                  <v>N₂O</v>
                </pt>
                <pt idx="3">
                  <v>Manufacturing</v>
                </pt>
                <pt idx="4">
                  <v>Electricity Gen</v>
                </pt>
                <pt idx="5">
                  <v>Fuel Production</v>
                </pt>
                <pt idx="6">
                  <v>End-of-Life</v>
                </pt>
              </strCache>
            </strRef>
          </cat>
          <val>
            <numRef>
              <f>Calculator!$P$25:$P$31</f>
              <numCache>
                <formatCode>#,##0.00</formatCode>
                <ptCount val="7"/>
                <pt idx="0">
                  <v>10132.15859030837</v>
                </pt>
                <pt idx="1">
                  <v>2.7216</v>
                </pt>
                <pt idx="2">
                  <v>2.2494</v>
                </pt>
                <pt idx="3">
                  <v>3000</v>
                </pt>
                <pt idx="4">
                  <v>0</v>
                </pt>
                <pt idx="5">
                  <v>2400</v>
                </pt>
                <pt idx="6">
                  <v>600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20001"/>
        <axId val="50020002"/>
      </barChart>
      <catAx>
        <axId val="5002000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Component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crossAx val="50020002"/>
        <crosses val="autoZero"/>
        <auto val="1"/>
        <lblAlgn val="ctr"/>
        <lblOffset val="100"/>
        <noMultiLvlLbl val="0"/>
      </catAx>
      <valAx>
        <axId val="5002000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g CO₂e</a:t>
                </a:r>
              </a:p>
            </rich>
          </tx>
          <overlay val="0"/>
        </title>
        <numFmt formatCode="#,##0.00" sourceLinked="1"/>
        <majorTickMark val="out"/>
        <minorTickMark val="none"/>
        <tickLblPos val="nextTo"/>
        <crossAx val="50020001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664191</colOff>
      <row>0</row>
      <rowOff>183866</rowOff>
    </from>
    <to>
      <col>13</col>
      <colOff>664191</colOff>
      <row>18</row>
      <rowOff>51464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660968</colOff>
      <row>18</row>
      <rowOff>73546</rowOff>
    </from>
    <to>
      <col>13</col>
      <colOff>660968</colOff>
      <row>35</row>
      <rowOff>129749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tabSelected="1" zoomScale="145" zoomScaleNormal="150" workbookViewId="0">
      <selection activeCell="Q37" sqref="Q37"/>
    </sheetView>
  </sheetViews>
  <sheetFormatPr baseColWidth="10" defaultColWidth="8.83203125" defaultRowHeight="15"/>
  <cols>
    <col width="37.1640625" customWidth="1" min="1" max="1"/>
    <col width="35" customWidth="1" min="2" max="2"/>
    <col width="16.5" customWidth="1" min="15" max="15"/>
    <col width="14.83203125" customWidth="1" min="16" max="16"/>
    <col width="12.33203125" customWidth="1" min="17" max="17"/>
  </cols>
  <sheetData>
    <row r="1">
      <c r="A1" s="5" t="inlineStr">
        <is>
          <t>Transport Mode</t>
        </is>
      </c>
      <c r="B1" s="6" t="inlineStr">
        <is>
          <t>Car</t>
        </is>
      </c>
    </row>
    <row r="2">
      <c r="A2" s="5" t="inlineStr">
        <is>
          <t>Fuel Type</t>
        </is>
      </c>
      <c r="B2" s="6" t="inlineStr">
        <is>
          <t>Petrol</t>
        </is>
      </c>
    </row>
    <row r="3">
      <c r="A3" s="5" t="inlineStr">
        <is>
          <t>Fuel Economy (km/L)</t>
        </is>
      </c>
      <c r="B3" s="6" t="n">
        <v>22.7</v>
      </c>
    </row>
    <row r="4">
      <c r="A4" s="5" t="inlineStr">
        <is>
          <t>Distance (km)</t>
        </is>
      </c>
      <c r="B4" s="6" t="n">
        <v>100</v>
      </c>
    </row>
    <row r="5">
      <c r="A5" s="5" t="inlineStr">
        <is>
          <t>Battery Eff (kWh/km)</t>
        </is>
      </c>
      <c r="B5" s="6" t="n">
        <v>0.2</v>
      </c>
    </row>
    <row r="6">
      <c r="A6" s="5" t="inlineStr">
        <is>
          <t>CI Country</t>
        </is>
      </c>
      <c r="B6" s="6" t="inlineStr">
        <is>
          <t>UK</t>
        </is>
      </c>
      <c r="C6" s="2">
        <f>VLOOKUP(B6,Lists!$E$1:$F$7,2,FALSE)</f>
        <v/>
      </c>
    </row>
    <row r="11">
      <c r="A11" s="3" t="inlineStr">
        <is>
          <t>Component</t>
        </is>
      </c>
      <c r="B11" s="3" t="inlineStr">
        <is>
          <t>Value (g)</t>
        </is>
      </c>
      <c r="C11" s="3" t="inlineStr">
        <is>
          <t>Value (kg)</t>
        </is>
      </c>
    </row>
    <row r="12">
      <c r="A12" s="4" t="inlineStr">
        <is>
          <t>CO₂ (g)</t>
        </is>
      </c>
      <c r="B12" s="2">
        <f>IF(OR($B$2="PHEV",$B$2="EV",$B$2="Electric",$B$2="Biomethane"),0,IF($B$2="Petrol",($B$4/$B$3)*2.3*1000,IF(AND($B$1="Bus",$B$2="Diesel"),$B$4*105,IF(AND($B$1="Train",$B$2="Diesel"),($B$4/(100/6))*2.6533*1000,IF($B$2="Diesel",($B$4/$B$3)*2.6533*1000,IF($B$2="Jet Fuel",($B$4/39)*3.16*1000,0))))))</f>
        <v/>
      </c>
      <c r="C12" s="2">
        <f>B12/1000</f>
        <v/>
      </c>
    </row>
    <row r="13">
      <c r="A13" s="4" t="inlineStr">
        <is>
          <t>CH₄ (g)</t>
        </is>
      </c>
      <c r="B13" s="2">
        <f>IF(OR(AND($B$1="Car",OR($B$2="Petrol",$B$2="Diesel")),AND($B$1="Bus",$B$2="Diesel")),$B$4*0.027216,IF(AND($B$1="Train",$B$2="Diesel"),($B$4/(100/6))*0.027216,IF($B$1="Airplane",($B$4/39)*0.027216,0)))</f>
        <v/>
      </c>
      <c r="C13" s="2">
        <f>B13/1000</f>
        <v/>
      </c>
    </row>
    <row r="14">
      <c r="A14" s="4" t="inlineStr">
        <is>
          <t>N₂O (g)</t>
        </is>
      </c>
      <c r="B14" s="2">
        <f>IF(OR(AND($B$1="Car",OR($B$2="Petrol",$B$2="Diesel")),AND($B$1="Bus",$B$2="Diesel")),$B$4*0.022494,IF(AND($B$1="Train",$B$2="Diesel"),($B$4/(100/6))*0.022494,IF($B$1="Airplane",($B$4/39)*0.022494,0)))</f>
        <v/>
      </c>
      <c r="C14" s="2">
        <f>B14/1000</f>
        <v/>
      </c>
    </row>
    <row r="15">
      <c r="A15" s="4" t="inlineStr">
        <is>
          <t>Total Direct CO₂e (g)</t>
        </is>
      </c>
      <c r="B15" s="2">
        <f>$B12 + $B13*28 + $B14*265</f>
        <v/>
      </c>
      <c r="C15" s="2">
        <f>B15/1000</f>
        <v/>
      </c>
    </row>
    <row r="16">
      <c r="A16" s="4" t="inlineStr">
        <is>
          <t>Electricity Gen (g)</t>
        </is>
      </c>
      <c r="B16" s="2">
        <f>IF($B$1="Car",IF($B$2="EV",$B$5*$C$6*$B$4,IF($B$2="PHEV",$B$5*$C$6*$B$4/2,0)),IF($B$1="Train",IF($B$2="Electric",0.069*$C$6*$B$4,0),IF($B$1="Bus",IF($B$2="Electric",0.025*$C$6*$B$4,0),0)))</f>
        <v/>
      </c>
      <c r="C16" s="2">
        <f>B16/1000</f>
        <v/>
      </c>
    </row>
    <row r="17">
      <c r="A17" s="4" t="inlineStr">
        <is>
          <t>Fuel Production (g)</t>
        </is>
      </c>
      <c r="B17" s="2">
        <f>IF(AND($B$1="Car",$B$2="Petrol"),24*$B$4,IF(AND($B$1="Car",$B$2="Diesel"),22*$B$4,IF(AND($B$1="Train",$B$2="Diesel"),22*$B$4,IF(AND($B$1="Bus",$B$2="Diesel"),22*$B$4,IF(AND($B$1="Bus",$B$2="Biomethane"),0.14*$B$4,IF($B$1="Airplane",10*$B$4,0))))))</f>
        <v/>
      </c>
      <c r="C17" s="2">
        <f>B17/1000</f>
        <v/>
      </c>
    </row>
    <row r="18">
      <c r="A18" s="4" t="inlineStr">
        <is>
          <t>Manufacturing (g)</t>
        </is>
      </c>
      <c r="B18" s="2">
        <f>IF($B$1="Car",CHOOSE(MATCH($B$2,{"Petrol","Diesel","PHEV","EV"},0),30,31,37,48)*$B$4,IF($B$1="Bus",5*$B$4,IF($B$1="Train",1*$B$4,IF($B$1="Airplane",0.13*$B$4,0))))</f>
        <v/>
      </c>
      <c r="C18" s="2">
        <f>B18/1000</f>
        <v/>
      </c>
    </row>
    <row r="19">
      <c r="A19" s="4" t="inlineStr">
        <is>
          <t>End-of-Life (g)</t>
        </is>
      </c>
      <c r="B19" s="2">
        <f>IF($B$1="Car",CHOOSE(MATCH($B$2,{"Petrol","Diesel","PHEV","EV"},0),6,6,7,9)*$B$4,IF($B$1="Bus",1.5*$B$4,IF($B$1="Train",1.25*$B$4,IF($B$1="Airplane",0.013*$B$4,0))))</f>
        <v/>
      </c>
      <c r="C19" s="2">
        <f>B19/1000</f>
        <v/>
      </c>
    </row>
    <row r="20">
      <c r="A20" s="4" t="inlineStr">
        <is>
          <t>Total Indirect CO₂e (g)</t>
        </is>
      </c>
      <c r="B20" s="2">
        <f>$B16 + $B17 + $B18 + $B19</f>
        <v/>
      </c>
      <c r="C20" s="2">
        <f>B20/1000</f>
        <v/>
      </c>
    </row>
    <row r="21">
      <c r="A21" s="4" t="inlineStr">
        <is>
          <t>Total Emissions CO₂e (g)</t>
        </is>
      </c>
      <c r="B21" s="2">
        <f>$B15 + $B20</f>
        <v/>
      </c>
      <c r="C21" s="2">
        <f>B21/1000</f>
        <v/>
      </c>
    </row>
    <row r="23">
      <c r="O23" s="1" t="inlineStr">
        <is>
          <t>Direct CO₂e (g)</t>
        </is>
      </c>
      <c r="P23" s="2">
        <f>$B15</f>
        <v/>
      </c>
    </row>
    <row r="24">
      <c r="O24" s="1" t="inlineStr">
        <is>
          <t>Indirect CO₂e (g)</t>
        </is>
      </c>
      <c r="P24" s="2">
        <f>$B20</f>
        <v/>
      </c>
    </row>
    <row r="25">
      <c r="O25" s="1" t="inlineStr">
        <is>
          <t>CO₂</t>
        </is>
      </c>
      <c r="P25" s="2">
        <f>B12</f>
        <v/>
      </c>
    </row>
    <row r="26">
      <c r="O26" s="1" t="inlineStr">
        <is>
          <t>CH₄</t>
        </is>
      </c>
      <c r="P26" s="2">
        <f>B13</f>
        <v/>
      </c>
    </row>
    <row r="27">
      <c r="O27" s="1" t="inlineStr">
        <is>
          <t>N₂O</t>
        </is>
      </c>
      <c r="P27" s="2">
        <f>B14</f>
        <v/>
      </c>
    </row>
    <row r="28">
      <c r="O28" s="1" t="inlineStr">
        <is>
          <t>Manufacturing</t>
        </is>
      </c>
      <c r="P28" s="2">
        <f>B18</f>
        <v/>
      </c>
    </row>
    <row r="29">
      <c r="O29" s="1" t="inlineStr">
        <is>
          <t>Electricity Gen</t>
        </is>
      </c>
      <c r="P29" s="2">
        <f>B16</f>
        <v/>
      </c>
    </row>
    <row r="30">
      <c r="O30" s="1" t="inlineStr">
        <is>
          <t>Fuel Production</t>
        </is>
      </c>
      <c r="P30" s="2">
        <f>B17</f>
        <v/>
      </c>
    </row>
    <row r="31">
      <c r="O31" s="1" t="inlineStr">
        <is>
          <t>End-of-Life</t>
        </is>
      </c>
      <c r="P31" s="2">
        <f>B19</f>
        <v/>
      </c>
    </row>
  </sheetData>
  <dataValidations count="3">
    <dataValidation sqref="B1" showDropDown="0" showInputMessage="1" showErrorMessage="1" allowBlank="1" type="list">
      <formula1>"Car,Bus,Train,Airplane"</formula1>
    </dataValidation>
    <dataValidation sqref="B2" showDropDown="0" showInputMessage="1" showErrorMessage="1" allowBlank="1" type="list">
      <formula1>INDIRECT($B$1 &amp; "Fuel")</formula1>
    </dataValidation>
    <dataValidation sqref="B6" showDropDown="0" showInputMessage="1" showErrorMessage="1" allowBlank="1" type="list">
      <formula1>CICountries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Petrol</t>
        </is>
      </c>
      <c r="B1" t="inlineStr">
        <is>
          <t>Diesel</t>
        </is>
      </c>
      <c r="C1" t="inlineStr">
        <is>
          <t>Electric</t>
        </is>
      </c>
      <c r="D1" t="inlineStr">
        <is>
          <t>Jet Fuel</t>
        </is>
      </c>
      <c r="E1" t="inlineStr">
        <is>
          <t>UK</t>
        </is>
      </c>
      <c r="F1" t="n">
        <v>125</v>
      </c>
    </row>
    <row r="2">
      <c r="A2" t="inlineStr">
        <is>
          <t>Diesel</t>
        </is>
      </c>
      <c r="B2" t="inlineStr">
        <is>
          <t>Electric</t>
        </is>
      </c>
      <c r="C2" t="inlineStr">
        <is>
          <t>Diesel</t>
        </is>
      </c>
      <c r="E2" t="inlineStr">
        <is>
          <t>USA</t>
        </is>
      </c>
      <c r="F2" t="n">
        <v>386</v>
      </c>
    </row>
    <row r="3">
      <c r="A3" t="inlineStr">
        <is>
          <t>PHEV</t>
        </is>
      </c>
      <c r="B3" t="inlineStr">
        <is>
          <t>Biomethane</t>
        </is>
      </c>
      <c r="E3" t="inlineStr">
        <is>
          <t>Germany</t>
        </is>
      </c>
      <c r="F3" t="n">
        <v>385</v>
      </c>
    </row>
    <row r="4">
      <c r="A4" t="inlineStr">
        <is>
          <t>EV</t>
        </is>
      </c>
      <c r="E4" t="inlineStr">
        <is>
          <t>France</t>
        </is>
      </c>
      <c r="F4" t="n">
        <v>56</v>
      </c>
    </row>
    <row r="5">
      <c r="E5" t="inlineStr">
        <is>
          <t>India</t>
        </is>
      </c>
      <c r="F5" t="n">
        <v>643</v>
      </c>
    </row>
    <row r="6">
      <c r="E6" t="inlineStr">
        <is>
          <t>China</t>
        </is>
      </c>
      <c r="F6" t="n">
        <v>560</v>
      </c>
    </row>
    <row r="7">
      <c r="E7" t="inlineStr">
        <is>
          <t>GlobalAvg</t>
        </is>
      </c>
      <c r="F7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2025-05-09T03:03:57Z</dcterms:created>
  <dcterms:modified xmlns:dcterms="http://purl.org/dc/terms/" xmlns:xsi="http://www.w3.org/2001/XMLSchema-instance" xsi:type="dcterms:W3CDTF">2026-07-31T00:18:19Z</dcterms:modified>
  <cp:lastModifiedBy>Amro Ayashi</cp:lastModifiedBy>
</cp:coreProperties>
</file>